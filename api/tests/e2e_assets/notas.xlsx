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omg\Downloads\"/>
    </mc:Choice>
  </mc:AlternateContent>
  <xr:revisionPtr revIDLastSave="0" documentId="13_ncr:1_{49CB98DA-D9EB-4CBD-B3F5-E6C9AE4D2CDB}" xr6:coauthVersionLast="47" xr6:coauthVersionMax="47" xr10:uidLastSave="{00000000-0000-0000-0000-000000000000}"/>
  <bookViews>
    <workbookView xWindow="-120" yWindow="-120" windowWidth="29040" windowHeight="15720" tabRatio="182" xr2:uid="{A2B1F658-E844-495A-A3FC-51DC9B9A470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H4" i="1" s="1"/>
  <c r="G8" i="1"/>
  <c r="H8" i="1" s="1"/>
  <c r="G5" i="1"/>
  <c r="H5" i="1" s="1"/>
  <c r="G6" i="1"/>
  <c r="H6" i="1" s="1"/>
  <c r="G7" i="1"/>
  <c r="H7" i="1" s="1"/>
  <c r="G9" i="1"/>
  <c r="H9" i="1" s="1"/>
  <c r="G10" i="1"/>
  <c r="H10" i="1" s="1"/>
  <c r="G11" i="1"/>
  <c r="H11" i="1" s="1"/>
  <c r="G12" i="1"/>
  <c r="H12" i="1" s="1"/>
</calcChain>
</file>

<file path=xl/sharedStrings.xml><?xml version="1.0" encoding="utf-8"?>
<sst xmlns="http://schemas.openxmlformats.org/spreadsheetml/2006/main" count="16" uniqueCount="16">
  <si>
    <t>AC1</t>
  </si>
  <si>
    <t>AC2</t>
  </si>
  <si>
    <t>AF</t>
  </si>
  <si>
    <t>AG</t>
  </si>
  <si>
    <t>NOTA</t>
  </si>
  <si>
    <t>NOTA MINIMA AF</t>
  </si>
  <si>
    <t xml:space="preserve">NOTAS </t>
  </si>
  <si>
    <t>DICIPLINAS</t>
  </si>
  <si>
    <t>Compiladores</t>
  </si>
  <si>
    <t>Indústria 4.0</t>
  </si>
  <si>
    <t>IA</t>
  </si>
  <si>
    <t>Processamento de Imagens</t>
  </si>
  <si>
    <t>Programação Distribuída</t>
  </si>
  <si>
    <t>Sistemas Digitais Computacionais II</t>
  </si>
  <si>
    <t>Sistemas Operacionais Embarcados</t>
  </si>
  <si>
    <t>TCC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</si>
</sst>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3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8FBB9A-092B-4F24-9AEB-18E82F610140}" name="Tabela1" displayName="Tabela1" ref="B3:H12" totalsRowShown="0" headerRowDxfId="12" dataDxfId="10" headerRowBorderDxfId="11" tableBorderDxfId="9" totalsRowBorderDxfId="8">
  <autoFilter ref="B3:H12" xr:uid="{02409CF4-E354-4292-9249-AC2FC365DCED}"/>
  <tableColumns count="7">
    <tableColumn id="1" xr3:uid="{A36FA388-71DB-4867-8EF9-B73582DB78EF}" name="DICIPLINAS" dataDxfId="7"/>
    <tableColumn id="2" xr3:uid="{265B668F-5CCE-4952-A5F4-4B6D6874634A}" name="AC1" dataDxfId="6"/>
    <tableColumn id="3" xr3:uid="{DF86F54A-C5AB-4743-AF36-2E1C0F4B4008}" name="AC2" dataDxfId="5"/>
    <tableColumn id="4" xr3:uid="{608BF40C-7806-4590-A706-1538A0A10EA4}" name="AF" dataDxfId="4"/>
    <tableColumn id="5" xr3:uid="{E0998E69-BAFA-4BC3-A875-34A8411CC9F6}" name="AG" dataDxfId="3"/>
    <tableColumn id="6" xr3:uid="{7ADC461C-EE00-4625-A31A-473D4C4C0D0D}" name="NOTA" dataDxfId="2">
      <calculatedColumnFormula>(C4*0.15)+(D4*0.3)+(E4*0.45)+(F4*0.1)</calculatedColumnFormula>
    </tableColumn>
    <tableColumn id="7" xr3:uid="{2020B322-FFF0-47CF-A080-F5DE3F25C8D4}" name="NOTA MINIMA AF" dataDxfId="1">
      <calculatedColumnFormula>IF((4.76-G4)/0.45&lt;=0,"Já era, passou",(4.76-G4)/0.45)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EA91B-6034-4593-A3DE-8F868CFDB44C}">
  <dimension ref="B1:J17"/>
  <sheetViews>
    <sheetView showGridLines="0" tabSelected="1" zoomScale="145" zoomScaleNormal="145" workbookViewId="0">
      <selection activeCell="F14" sqref="F14"/>
    </sheetView>
  </sheetViews>
  <sheetFormatPr defaultColWidth="9.140625" defaultRowHeight="14.25" x14ac:dyDescent="0.2"/>
  <cols>
    <col min="1" max="1" width="3.140625" style="1" customWidth="1"/>
    <col min="2" max="2" width="47.140625" style="1" customWidth="1"/>
    <col min="3" max="6" width="7.85546875" style="2" customWidth="1"/>
    <col min="7" max="7" width="9.28515625" style="2" bestFit="1" customWidth="1"/>
    <col min="8" max="8" width="21" style="3" bestFit="1" customWidth="1"/>
    <col min="9" max="16384" width="9.140625" style="1"/>
  </cols>
  <sheetData>
    <row r="1" spans="2:10" ht="8.25" customHeight="1" x14ac:dyDescent="0.2"/>
    <row r="2" spans="2:10" ht="27" customHeight="1" x14ac:dyDescent="0.2">
      <c r="B2" s="15" t="s">
        <v>6</v>
      </c>
      <c r="C2" s="15"/>
      <c r="D2" s="15"/>
      <c r="E2" s="15"/>
      <c r="F2" s="15"/>
      <c r="G2" s="15"/>
      <c r="H2" s="15"/>
    </row>
    <row r="3" spans="2:10" ht="15" x14ac:dyDescent="0.25">
      <c r="B3" s="4" t="s">
        <v>7</v>
      </c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7" t="s">
        <v>5</v>
      </c>
      <c r="J3" s="14"/>
    </row>
    <row r="4" spans="2:10" ht="15" x14ac:dyDescent="0.2">
      <c r="B4" s="11" t="s">
        <v>8</v>
      </c>
      <c r="C4" s="8">
        <v>10</v>
      </c>
      <c r="D4" s="8">
        <v>6.53</v>
      </c>
      <c r="E4" s="8">
        <v>8.5</v>
      </c>
      <c r="F4" s="8">
        <v>9.9</v>
      </c>
      <c r="G4" s="9">
        <f>(C4*0.15)+(D4*0.3)+(E4*0.45)+(F4*0.1)</f>
        <v>8.2740000000000009</v>
      </c>
      <c r="H4" s="5" t="str">
        <f t="shared" ref="H4:H12" si="0">IF((4.76-G4)/0.45&lt;=0,"Já era, passou",(4.76-G4)/0.45)</f>
        <v>Já era, passou</v>
      </c>
    </row>
    <row r="5" spans="2:10" ht="15" x14ac:dyDescent="0.2">
      <c r="B5" s="12" t="s">
        <v>9</v>
      </c>
      <c r="C5" s="10">
        <v>10</v>
      </c>
      <c r="D5" s="8">
        <v>9</v>
      </c>
      <c r="E5" s="8"/>
      <c r="F5" s="8">
        <v>9.9</v>
      </c>
      <c r="G5" s="9">
        <f t="shared" ref="G5:G12" si="1">(C5*0.15)+(D5*0.3)+(E5*0.45)+(F5*0.1)</f>
        <v>5.1899999999999995</v>
      </c>
      <c r="H5" s="5" t="str">
        <f t="shared" si="0"/>
        <v>Já era, passou</v>
      </c>
    </row>
    <row r="6" spans="2:10" ht="15" x14ac:dyDescent="0.2">
      <c r="B6" s="12" t="s">
        <v>10</v>
      </c>
      <c r="C6" s="10">
        <v>9.25</v>
      </c>
      <c r="D6" s="8">
        <v>9.07</v>
      </c>
      <c r="E6" s="8">
        <v>10</v>
      </c>
      <c r="F6" s="8">
        <v>9.9</v>
      </c>
      <c r="G6" s="9">
        <f t="shared" si="1"/>
        <v>9.5984999999999996</v>
      </c>
      <c r="H6" s="5" t="str">
        <f>IF((4.76-G6)/0.45&lt;=0,"Já era, passou",(4.76-G6)/0.45)</f>
        <v>Já era, passou</v>
      </c>
    </row>
    <row r="7" spans="2:10" ht="15" x14ac:dyDescent="0.2">
      <c r="B7" s="12" t="s">
        <v>11</v>
      </c>
      <c r="C7" s="10">
        <v>5.5</v>
      </c>
      <c r="D7" s="8">
        <v>9.2899999999999991</v>
      </c>
      <c r="E7" s="8">
        <v>5.5</v>
      </c>
      <c r="F7" s="8">
        <v>9.9</v>
      </c>
      <c r="G7" s="9">
        <f t="shared" si="1"/>
        <v>7.077</v>
      </c>
      <c r="H7" s="5" t="str">
        <f t="shared" si="0"/>
        <v>Já era, passou</v>
      </c>
    </row>
    <row r="8" spans="2:10" ht="15" x14ac:dyDescent="0.2">
      <c r="B8" s="12" t="s">
        <v>12</v>
      </c>
      <c r="C8" s="10">
        <v>9.5</v>
      </c>
      <c r="D8" s="8">
        <v>10</v>
      </c>
      <c r="E8" s="8"/>
      <c r="F8" s="8">
        <v>9.9</v>
      </c>
      <c r="G8" s="9">
        <f t="shared" si="1"/>
        <v>5.415</v>
      </c>
      <c r="H8" s="5" t="str">
        <f t="shared" si="0"/>
        <v>Já era, passou</v>
      </c>
    </row>
    <row r="9" spans="2:10" ht="15" x14ac:dyDescent="0.2">
      <c r="B9" s="11" t="s">
        <v>13</v>
      </c>
      <c r="C9" s="8">
        <v>8.8000000000000007</v>
      </c>
      <c r="D9" s="8">
        <v>9</v>
      </c>
      <c r="E9" s="8">
        <v>9</v>
      </c>
      <c r="F9" s="8">
        <v>9.9</v>
      </c>
      <c r="G9" s="9">
        <f t="shared" si="1"/>
        <v>9.06</v>
      </c>
      <c r="H9" s="5" t="str">
        <f t="shared" si="0"/>
        <v>Já era, passou</v>
      </c>
    </row>
    <row r="10" spans="2:10" ht="15" x14ac:dyDescent="0.2">
      <c r="B10" s="11" t="s">
        <v>14</v>
      </c>
      <c r="C10" s="10">
        <v>8.5</v>
      </c>
      <c r="D10" s="8">
        <v>7.5</v>
      </c>
      <c r="E10" s="8"/>
      <c r="F10" s="8">
        <v>9.9</v>
      </c>
      <c r="G10" s="9">
        <f t="shared" si="1"/>
        <v>4.5149999999999997</v>
      </c>
      <c r="H10" s="5">
        <f t="shared" si="0"/>
        <v>0.54444444444444462</v>
      </c>
    </row>
    <row r="11" spans="2:10" ht="15" x14ac:dyDescent="0.2">
      <c r="B11" s="12" t="s">
        <v>15</v>
      </c>
      <c r="C11" s="10">
        <v>10</v>
      </c>
      <c r="D11" s="10">
        <v>10</v>
      </c>
      <c r="E11" s="10">
        <v>10</v>
      </c>
      <c r="F11" s="8">
        <v>9.9</v>
      </c>
      <c r="G11" s="9">
        <f t="shared" si="1"/>
        <v>9.99</v>
      </c>
      <c r="H11" s="5" t="str">
        <f t="shared" si="0"/>
        <v>Já era, passou</v>
      </c>
    </row>
    <row r="12" spans="2:10" ht="15" x14ac:dyDescent="0.2">
      <c r="B12" s="11"/>
      <c r="C12" s="8"/>
      <c r="D12" s="8"/>
      <c r="E12" s="8"/>
      <c r="F12" s="8"/>
      <c r="G12" s="9">
        <f t="shared" si="1"/>
        <v>0</v>
      </c>
      <c r="H12" s="5">
        <f t="shared" si="0"/>
        <v>10.577777777777778</v>
      </c>
    </row>
    <row r="17" spans="4:5" x14ac:dyDescent="0.2">
      <c r="D17" s="13"/>
      <c r="E17" s="13"/>
    </row>
  </sheetData>
  <mergeCells count="1">
    <mergeCell ref="B2:H2"/>
  </mergeCells>
  <conditionalFormatting sqref="H4:H12">
    <cfRule type="containsText" dxfId="0" priority="2" operator="containsText" text="Já era, passou">
      <formula>NOT(ISERROR(SEARCH("Já era, passou",H4)))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Dinis</dc:creator>
  <cp:lastModifiedBy>LUCAS SANTOS RODRIGUES</cp:lastModifiedBy>
  <dcterms:created xsi:type="dcterms:W3CDTF">2020-11-27T12:02:01Z</dcterms:created>
  <dcterms:modified xsi:type="dcterms:W3CDTF">2023-12-04T18:55:00Z</dcterms:modified>
</cp:coreProperties>
</file>